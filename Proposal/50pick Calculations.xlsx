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50pick\Calculation\"/>
    </mc:Choice>
  </mc:AlternateContent>
  <xr:revisionPtr revIDLastSave="0" documentId="8_{5C0147C4-0E0F-4F0E-A4F9-637A2B3D2F74}" xr6:coauthVersionLast="36" xr6:coauthVersionMax="36" xr10:uidLastSave="{00000000-0000-0000-0000-000000000000}"/>
  <bookViews>
    <workbookView xWindow="0" yWindow="0" windowWidth="16410" windowHeight="7125" xr2:uid="{E7785172-0AC5-45C1-B80B-5969BA4DDF67}"/>
  </bookViews>
  <sheets>
    <sheet name="Question" sheetId="1" r:id="rId1"/>
    <sheet name="Players Bet" sheetId="2" r:id="rId2"/>
    <sheet name="Fee structure" sheetId="3" r:id="rId3"/>
    <sheet name="Payout distribution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4" l="1"/>
  <c r="H15" i="4"/>
  <c r="I15" i="4"/>
  <c r="I14" i="4"/>
  <c r="I13" i="4"/>
  <c r="I12" i="4"/>
  <c r="J14" i="4"/>
  <c r="J13" i="4"/>
  <c r="J12" i="4"/>
  <c r="H14" i="4"/>
  <c r="H13" i="4"/>
  <c r="H12" i="4"/>
  <c r="G14" i="4"/>
  <c r="G13" i="4"/>
  <c r="G12" i="4"/>
  <c r="F14" i="4"/>
  <c r="F13" i="4"/>
  <c r="F12" i="4"/>
  <c r="D15" i="4"/>
  <c r="H8" i="4"/>
  <c r="I8" i="4"/>
  <c r="J7" i="4"/>
  <c r="J6" i="4"/>
  <c r="J5" i="4"/>
  <c r="I7" i="4"/>
  <c r="I6" i="4"/>
  <c r="I5" i="4"/>
  <c r="H7" i="4"/>
  <c r="H6" i="4"/>
  <c r="H5" i="4"/>
  <c r="G7" i="4"/>
  <c r="G6" i="4"/>
  <c r="G5" i="4"/>
  <c r="F8" i="4"/>
  <c r="F6" i="4"/>
  <c r="F7" i="4"/>
  <c r="F5" i="4"/>
  <c r="E7" i="4"/>
  <c r="E6" i="4"/>
  <c r="E5" i="4"/>
  <c r="D8" i="4"/>
  <c r="I10" i="3"/>
  <c r="I9" i="3"/>
  <c r="I8" i="3"/>
  <c r="H10" i="3"/>
  <c r="H9" i="3"/>
  <c r="H8" i="3"/>
  <c r="G15" i="3"/>
  <c r="F15" i="3"/>
  <c r="E15" i="3"/>
  <c r="D15" i="3"/>
  <c r="G14" i="3"/>
  <c r="G13" i="3"/>
  <c r="F14" i="3"/>
  <c r="F13" i="3"/>
  <c r="E14" i="3"/>
  <c r="E13" i="3"/>
  <c r="H4" i="3"/>
  <c r="H3" i="3"/>
  <c r="H2" i="3"/>
  <c r="J4" i="2"/>
  <c r="J6" i="2"/>
  <c r="J5" i="2"/>
  <c r="D17" i="2"/>
  <c r="E16" i="2"/>
  <c r="F16" i="2" s="1"/>
  <c r="E15" i="2"/>
  <c r="F15" i="2" s="1"/>
  <c r="E14" i="2"/>
  <c r="F14" i="2" s="1"/>
  <c r="F7" i="2"/>
  <c r="F6" i="2"/>
  <c r="F5" i="2"/>
  <c r="E7" i="2"/>
  <c r="E6" i="2"/>
  <c r="E5" i="2"/>
  <c r="D8" i="2"/>
</calcChain>
</file>

<file path=xl/sharedStrings.xml><?xml version="1.0" encoding="utf-8"?>
<sst xmlns="http://schemas.openxmlformats.org/spreadsheetml/2006/main" count="84" uniqueCount="56">
  <si>
    <t>Will Messi win the World cup 2026?</t>
  </si>
  <si>
    <t>Yes</t>
  </si>
  <si>
    <t>No</t>
  </si>
  <si>
    <t>All possible winnings should be 0.5|0.5</t>
  </si>
  <si>
    <t>This is to show only estimated possible winnings</t>
  </si>
  <si>
    <t>When showing possible winnings we have to alert the players that Estimated Possible winnings maybe more or less than shown, depending on the players</t>
  </si>
  <si>
    <t>PLAYERS</t>
  </si>
  <si>
    <t>STAKE</t>
  </si>
  <si>
    <t>SELECTION</t>
  </si>
  <si>
    <t>YES</t>
  </si>
  <si>
    <t>Jimmy</t>
  </si>
  <si>
    <t>Fulgence</t>
  </si>
  <si>
    <t>Ali</t>
  </si>
  <si>
    <t>Possible Winnings</t>
  </si>
  <si>
    <t>Percentage (0.5)</t>
  </si>
  <si>
    <t>WHAT PLAYERS SEE BEFORE THEY PLACE BETS</t>
  </si>
  <si>
    <t>NO</t>
  </si>
  <si>
    <t>Jay</t>
  </si>
  <si>
    <t>Dhiresh</t>
  </si>
  <si>
    <t>Hussein</t>
  </si>
  <si>
    <t>TOTAL POOL</t>
  </si>
  <si>
    <t>YES POOL</t>
  </si>
  <si>
    <t>NO POOL</t>
  </si>
  <si>
    <t>POSSIBLE WINNINGS</t>
  </si>
  <si>
    <t>We will use 0.5 | 0.5 odds to use for calculating [possible winnings.</t>
  </si>
  <si>
    <t>To support this means 50% -50% to which the result may fall</t>
  </si>
  <si>
    <t>Platform Fee</t>
  </si>
  <si>
    <t>Operator Fee</t>
  </si>
  <si>
    <t>We will have 2 kind of fees</t>
  </si>
  <si>
    <t>Therefore:</t>
  </si>
  <si>
    <t>Both fees will be deducted only on net winnings</t>
  </si>
  <si>
    <t>Fee Structure</t>
  </si>
  <si>
    <t>Winnings</t>
  </si>
  <si>
    <t>Platform Fee 3%</t>
  </si>
  <si>
    <t>Operators Fee 10%</t>
  </si>
  <si>
    <t>Yes to Win</t>
  </si>
  <si>
    <t>No to Win</t>
  </si>
  <si>
    <t>Net Winnings</t>
  </si>
  <si>
    <t>Therefore, Total pool - Stakes = Winnings</t>
  </si>
  <si>
    <t>Fee = (Winnings*Platform Fee)+(winnings*Operators Fee)</t>
  </si>
  <si>
    <t>TOTAL FEE</t>
  </si>
  <si>
    <t>PLATFORM FEE</t>
  </si>
  <si>
    <t>OPERATORS FEE</t>
  </si>
  <si>
    <t>If yes wins than the Fees are TZS 84,500</t>
  </si>
  <si>
    <t>If no wins than the fees are TZS 2,080</t>
  </si>
  <si>
    <t>Name</t>
  </si>
  <si>
    <t>Stake</t>
  </si>
  <si>
    <t>Yes Pool</t>
  </si>
  <si>
    <t>Percentage</t>
  </si>
  <si>
    <t>Possible winnings</t>
  </si>
  <si>
    <t>Payout distribution for Yes will be 565,500 and for No is 13,920</t>
  </si>
  <si>
    <t>No Pool</t>
  </si>
  <si>
    <t>Calculations:</t>
  </si>
  <si>
    <t>Percentage = Stake/Yes or No pool</t>
  </si>
  <si>
    <t>Total Net Winnings</t>
  </si>
  <si>
    <t>Stake + Net Winnings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</si>
</sst>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4" xfId="0" applyFill="1" applyBorder="1"/>
    <xf numFmtId="0" fontId="0" fillId="4" borderId="4" xfId="0" applyFill="1" applyBorder="1"/>
    <xf numFmtId="43" fontId="0" fillId="0" borderId="0" xfId="1" applyFont="1"/>
    <xf numFmtId="165" fontId="0" fillId="0" borderId="0" xfId="1" applyNumberFormat="1" applyFont="1"/>
    <xf numFmtId="0" fontId="0" fillId="0" borderId="0" xfId="0" applyAlignment="1">
      <alignment horizontal="center"/>
    </xf>
    <xf numFmtId="43" fontId="0" fillId="0" borderId="4" xfId="1" applyFont="1" applyBorder="1"/>
    <xf numFmtId="0" fontId="0" fillId="0" borderId="4" xfId="0" applyBorder="1" applyAlignment="1">
      <alignment horizontal="center"/>
    </xf>
    <xf numFmtId="43" fontId="0" fillId="0" borderId="5" xfId="1" applyFont="1" applyBorder="1"/>
    <xf numFmtId="43" fontId="0" fillId="0" borderId="6" xfId="1" applyFont="1" applyBorder="1"/>
    <xf numFmtId="43" fontId="0" fillId="0" borderId="7" xfId="1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3" fontId="0" fillId="0" borderId="0" xfId="0" applyNumberFormat="1"/>
    <xf numFmtId="0" fontId="0" fillId="0" borderId="14" xfId="0" applyBorder="1"/>
    <xf numFmtId="0" fontId="0" fillId="0" borderId="12" xfId="0" applyBorder="1"/>
    <xf numFmtId="43" fontId="0" fillId="0" borderId="4" xfId="0" applyNumberFormat="1" applyBorder="1" applyAlignment="1">
      <alignment horizontal="center"/>
    </xf>
    <xf numFmtId="43" fontId="0" fillId="0" borderId="4" xfId="0" applyNumberFormat="1" applyBorder="1"/>
    <xf numFmtId="43" fontId="0" fillId="0" borderId="5" xfId="0" applyNumberFormat="1" applyBorder="1"/>
    <xf numFmtId="43" fontId="0" fillId="0" borderId="7" xfId="0" applyNumberFormat="1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/>
    <xf numFmtId="9" fontId="0" fillId="0" borderId="5" xfId="0" applyNumberFormat="1" applyBorder="1"/>
    <xf numFmtId="9" fontId="0" fillId="0" borderId="7" xfId="0" applyNumberFormat="1" applyBorder="1"/>
    <xf numFmtId="0" fontId="0" fillId="0" borderId="4" xfId="0" applyBorder="1"/>
    <xf numFmtId="165" fontId="0" fillId="0" borderId="4" xfId="1" applyNumberFormat="1" applyFont="1" applyBorder="1"/>
    <xf numFmtId="165" fontId="0" fillId="0" borderId="4" xfId="1" applyNumberFormat="1" applyFont="1" applyFill="1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165" fontId="0" fillId="0" borderId="4" xfId="1" applyNumberFormat="1" applyFont="1" applyBorder="1" applyAlignment="1">
      <alignment horizontal="center"/>
    </xf>
    <xf numFmtId="43" fontId="0" fillId="0" borderId="4" xfId="1" applyNumberFormat="1" applyFont="1" applyBorder="1" applyAlignment="1">
      <alignment horizontal="center"/>
    </xf>
    <xf numFmtId="0" fontId="0" fillId="0" borderId="5" xfId="0" applyBorder="1" applyAlignment="1">
      <alignment horizontal="center" vertical="center" textRotation="45"/>
    </xf>
    <xf numFmtId="0" fontId="0" fillId="0" borderId="6" xfId="0" applyBorder="1" applyAlignment="1">
      <alignment horizontal="center" vertical="center" textRotation="45"/>
    </xf>
    <xf numFmtId="0" fontId="0" fillId="0" borderId="7" xfId="0" applyBorder="1" applyAlignment="1">
      <alignment horizontal="center" vertical="center" textRotation="45"/>
    </xf>
    <xf numFmtId="9" fontId="0" fillId="0" borderId="5" xfId="2" applyFont="1" applyBorder="1"/>
    <xf numFmtId="9" fontId="0" fillId="0" borderId="6" xfId="2" applyFont="1" applyBorder="1"/>
    <xf numFmtId="9" fontId="0" fillId="0" borderId="7" xfId="2" applyFont="1" applyBorder="1"/>
    <xf numFmtId="165" fontId="0" fillId="0" borderId="5" xfId="1" applyNumberFormat="1" applyFont="1" applyBorder="1"/>
    <xf numFmtId="165" fontId="0" fillId="0" borderId="6" xfId="1" applyNumberFormat="1" applyFont="1" applyBorder="1"/>
    <xf numFmtId="165" fontId="0" fillId="0" borderId="7" xfId="1" applyNumberFormat="1" applyFont="1" applyBorder="1"/>
    <xf numFmtId="9" fontId="0" fillId="0" borderId="4" xfId="2" applyFont="1" applyBorder="1"/>
    <xf numFmtId="43" fontId="0" fillId="0" borderId="5" xfId="1" applyNumberFormat="1" applyFont="1" applyBorder="1"/>
    <xf numFmtId="43" fontId="0" fillId="0" borderId="6" xfId="1" applyNumberFormat="1" applyFont="1" applyBorder="1"/>
    <xf numFmtId="43" fontId="0" fillId="0" borderId="7" xfId="1" applyNumberFormat="1" applyFont="1" applyBorder="1"/>
    <xf numFmtId="0" fontId="0" fillId="5" borderId="0" xfId="0" applyFill="1"/>
    <xf numFmtId="0" fontId="0" fillId="5" borderId="4" xfId="0" applyFill="1" applyBorder="1" applyAlignment="1">
      <alignment horizontal="center"/>
    </xf>
    <xf numFmtId="165" fontId="0" fillId="5" borderId="5" xfId="1" applyNumberFormat="1" applyFont="1" applyFill="1" applyBorder="1"/>
    <xf numFmtId="165" fontId="0" fillId="5" borderId="6" xfId="1" applyNumberFormat="1" applyFont="1" applyFill="1" applyBorder="1"/>
    <xf numFmtId="165" fontId="0" fillId="5" borderId="7" xfId="1" applyNumberFormat="1" applyFont="1" applyFill="1" applyBorder="1"/>
    <xf numFmtId="165" fontId="0" fillId="5" borderId="0" xfId="1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F8805-3E1E-4301-B74D-12435D2741A7}">
  <dimension ref="B3:E10"/>
  <sheetViews>
    <sheetView tabSelected="1" workbookViewId="0">
      <selection activeCell="D22" sqref="D22"/>
    </sheetView>
  </sheetViews>
  <sheetFormatPr defaultRowHeight="15" x14ac:dyDescent="0.25"/>
  <sheetData>
    <row r="3" spans="2:5" ht="15.75" thickBot="1" x14ac:dyDescent="0.3"/>
    <row r="4" spans="2:5" ht="15.75" thickBot="1" x14ac:dyDescent="0.3">
      <c r="B4" s="1" t="s">
        <v>0</v>
      </c>
      <c r="C4" s="2"/>
      <c r="D4" s="2"/>
      <c r="E4" s="3"/>
    </row>
    <row r="5" spans="2:5" ht="15.75" thickBot="1" x14ac:dyDescent="0.3">
      <c r="B5" s="4" t="s">
        <v>1</v>
      </c>
      <c r="C5" s="4">
        <v>0.5</v>
      </c>
      <c r="D5" s="5" t="s">
        <v>2</v>
      </c>
      <c r="E5" s="5">
        <v>0.5</v>
      </c>
    </row>
    <row r="8" spans="2:5" x14ac:dyDescent="0.25">
      <c r="B8" t="s">
        <v>3</v>
      </c>
    </row>
    <row r="9" spans="2:5" x14ac:dyDescent="0.25">
      <c r="B9" t="s">
        <v>4</v>
      </c>
    </row>
    <row r="10" spans="2:5" x14ac:dyDescent="0.25">
      <c r="B10" t="s">
        <v>5</v>
      </c>
    </row>
  </sheetData>
  <mergeCells count="1">
    <mergeCell ref="B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343B1-CED4-4945-AF17-6DC9D8B7057B}">
  <dimension ref="B1:J17"/>
  <sheetViews>
    <sheetView workbookViewId="0">
      <selection activeCell="E21" sqref="E21"/>
    </sheetView>
  </sheetViews>
  <sheetFormatPr defaultRowHeight="15" x14ac:dyDescent="0.25"/>
  <cols>
    <col min="2" max="2" width="13" customWidth="1"/>
    <col min="4" max="4" width="11.5703125" bestFit="1" customWidth="1"/>
    <col min="5" max="5" width="15.5703125" bestFit="1" customWidth="1"/>
    <col min="6" max="6" width="17.42578125" bestFit="1" customWidth="1"/>
    <col min="9" max="9" width="12.28515625" customWidth="1"/>
    <col min="10" max="10" width="11.5703125" bestFit="1" customWidth="1"/>
  </cols>
  <sheetData>
    <row r="1" spans="2:10" ht="15.75" thickBot="1" x14ac:dyDescent="0.3"/>
    <row r="2" spans="2:10" x14ac:dyDescent="0.25">
      <c r="B2" s="22" t="s">
        <v>15</v>
      </c>
      <c r="C2" s="23"/>
      <c r="D2" s="23"/>
      <c r="E2" s="23"/>
      <c r="F2" s="24"/>
    </row>
    <row r="3" spans="2:10" ht="15.75" thickBot="1" x14ac:dyDescent="0.3">
      <c r="B3" s="25"/>
      <c r="C3" s="21"/>
      <c r="D3" s="21"/>
      <c r="E3" s="21"/>
      <c r="F3" s="26"/>
    </row>
    <row r="4" spans="2:10" s="8" customFormat="1" ht="15.75" thickBot="1" x14ac:dyDescent="0.3">
      <c r="B4" s="10" t="s">
        <v>8</v>
      </c>
      <c r="C4" s="10" t="s">
        <v>6</v>
      </c>
      <c r="D4" s="10" t="s">
        <v>7</v>
      </c>
      <c r="E4" s="10" t="s">
        <v>14</v>
      </c>
      <c r="F4" s="10" t="s">
        <v>13</v>
      </c>
      <c r="I4" s="10" t="s">
        <v>20</v>
      </c>
      <c r="J4" s="30">
        <f>J6+J5</f>
        <v>666000</v>
      </c>
    </row>
    <row r="5" spans="2:10" x14ac:dyDescent="0.25">
      <c r="B5" s="17" t="s">
        <v>1</v>
      </c>
      <c r="C5" s="14" t="s">
        <v>10</v>
      </c>
      <c r="D5" s="6">
        <v>1000</v>
      </c>
      <c r="E5" s="11">
        <f>D5*0.5</f>
        <v>500</v>
      </c>
      <c r="F5" s="11">
        <f>D5+E5</f>
        <v>1500</v>
      </c>
      <c r="I5" s="28" t="s">
        <v>21</v>
      </c>
      <c r="J5" s="32">
        <f>D8</f>
        <v>16000</v>
      </c>
    </row>
    <row r="6" spans="2:10" ht="15.75" thickBot="1" x14ac:dyDescent="0.3">
      <c r="B6" s="18"/>
      <c r="C6" s="15" t="s">
        <v>11</v>
      </c>
      <c r="D6" s="6">
        <v>5000</v>
      </c>
      <c r="E6" s="12">
        <f t="shared" ref="E6:E8" si="0">D6*0.5</f>
        <v>2500</v>
      </c>
      <c r="F6" s="12">
        <f t="shared" ref="F6:F7" si="1">D6+E6</f>
        <v>7500</v>
      </c>
      <c r="I6" s="29" t="s">
        <v>22</v>
      </c>
      <c r="J6" s="33">
        <f>D17</f>
        <v>650000</v>
      </c>
    </row>
    <row r="7" spans="2:10" ht="15.75" thickBot="1" x14ac:dyDescent="0.3">
      <c r="B7" s="19"/>
      <c r="C7" s="16" t="s">
        <v>12</v>
      </c>
      <c r="D7" s="6">
        <v>10000</v>
      </c>
      <c r="E7" s="13">
        <f t="shared" si="0"/>
        <v>5000</v>
      </c>
      <c r="F7" s="13">
        <f t="shared" si="1"/>
        <v>15000</v>
      </c>
    </row>
    <row r="8" spans="2:10" ht="15.75" thickBot="1" x14ac:dyDescent="0.3">
      <c r="D8" s="9">
        <f>SUM(D5:D7)</f>
        <v>16000</v>
      </c>
      <c r="E8" s="6"/>
      <c r="F8" s="6"/>
    </row>
    <row r="9" spans="2:10" x14ac:dyDescent="0.25">
      <c r="I9" t="s">
        <v>23</v>
      </c>
    </row>
    <row r="10" spans="2:10" ht="15.75" thickBot="1" x14ac:dyDescent="0.3">
      <c r="I10" t="s">
        <v>24</v>
      </c>
    </row>
    <row r="11" spans="2:10" x14ac:dyDescent="0.25">
      <c r="B11" s="22" t="s">
        <v>15</v>
      </c>
      <c r="C11" s="23"/>
      <c r="D11" s="23"/>
      <c r="E11" s="23"/>
      <c r="F11" s="24"/>
      <c r="I11" t="s">
        <v>25</v>
      </c>
    </row>
    <row r="12" spans="2:10" ht="15.75" thickBot="1" x14ac:dyDescent="0.3">
      <c r="B12" s="25"/>
      <c r="C12" s="21"/>
      <c r="D12" s="21"/>
      <c r="E12" s="21"/>
      <c r="F12" s="26"/>
    </row>
    <row r="13" spans="2:10" ht="15.75" thickBot="1" x14ac:dyDescent="0.3">
      <c r="B13" s="10" t="s">
        <v>8</v>
      </c>
      <c r="C13" s="10" t="s">
        <v>6</v>
      </c>
      <c r="D13" s="10" t="s">
        <v>7</v>
      </c>
      <c r="E13" s="10" t="s">
        <v>14</v>
      </c>
      <c r="F13" s="10" t="s">
        <v>13</v>
      </c>
    </row>
    <row r="14" spans="2:10" x14ac:dyDescent="0.25">
      <c r="B14" s="17" t="s">
        <v>16</v>
      </c>
      <c r="C14" s="14" t="s">
        <v>17</v>
      </c>
      <c r="D14" s="6">
        <v>100000</v>
      </c>
      <c r="E14" s="11">
        <f>D14*0.5</f>
        <v>50000</v>
      </c>
      <c r="F14" s="11">
        <f>D14+E14</f>
        <v>150000</v>
      </c>
    </row>
    <row r="15" spans="2:10" x14ac:dyDescent="0.25">
      <c r="B15" s="18"/>
      <c r="C15" s="15" t="s">
        <v>18</v>
      </c>
      <c r="D15" s="6">
        <v>250000</v>
      </c>
      <c r="E15" s="12">
        <f t="shared" ref="E15:E16" si="2">D15*0.5</f>
        <v>125000</v>
      </c>
      <c r="F15" s="12">
        <f t="shared" ref="F15:F16" si="3">D15+E15</f>
        <v>375000</v>
      </c>
    </row>
    <row r="16" spans="2:10" ht="15.75" thickBot="1" x14ac:dyDescent="0.3">
      <c r="B16" s="19"/>
      <c r="C16" s="16" t="s">
        <v>19</v>
      </c>
      <c r="D16" s="6">
        <v>300000</v>
      </c>
      <c r="E16" s="13">
        <f t="shared" si="2"/>
        <v>150000</v>
      </c>
      <c r="F16" s="13">
        <f t="shared" si="3"/>
        <v>450000</v>
      </c>
    </row>
    <row r="17" spans="4:6" ht="15.75" thickBot="1" x14ac:dyDescent="0.3">
      <c r="D17" s="9">
        <f>SUM(D14:D16)</f>
        <v>650000</v>
      </c>
      <c r="E17" s="6"/>
      <c r="F17" s="6"/>
    </row>
  </sheetData>
  <mergeCells count="4">
    <mergeCell ref="B5:B7"/>
    <mergeCell ref="B2:F3"/>
    <mergeCell ref="B11:F12"/>
    <mergeCell ref="B14:B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353E4-A325-47C5-A020-3C01C84EBF1B}">
  <dimension ref="C1:I21"/>
  <sheetViews>
    <sheetView topLeftCell="B3" workbookViewId="0">
      <selection activeCell="G13" sqref="G13"/>
    </sheetView>
  </sheetViews>
  <sheetFormatPr defaultRowHeight="15" x14ac:dyDescent="0.25"/>
  <cols>
    <col min="3" max="3" width="13.85546875" customWidth="1"/>
    <col min="4" max="7" width="19.7109375" customWidth="1"/>
    <col min="8" max="8" width="11.5703125" bestFit="1" customWidth="1"/>
    <col min="9" max="9" width="9.5703125" bestFit="1" customWidth="1"/>
  </cols>
  <sheetData>
    <row r="1" spans="3:9" ht="15.75" thickBot="1" x14ac:dyDescent="0.3"/>
    <row r="2" spans="3:9" ht="15.75" thickBot="1" x14ac:dyDescent="0.3">
      <c r="G2" s="39" t="s">
        <v>20</v>
      </c>
      <c r="H2" s="31">
        <f>'Players Bet'!J4</f>
        <v>666000</v>
      </c>
    </row>
    <row r="3" spans="3:9" ht="15.75" thickBot="1" x14ac:dyDescent="0.3">
      <c r="C3" s="34" t="s">
        <v>28</v>
      </c>
      <c r="D3" s="35"/>
      <c r="G3" s="14" t="s">
        <v>21</v>
      </c>
      <c r="H3" s="32">
        <f>'Players Bet'!J5</f>
        <v>16000</v>
      </c>
    </row>
    <row r="4" spans="3:9" ht="15.75" thickBot="1" x14ac:dyDescent="0.3">
      <c r="C4" s="36" t="s">
        <v>26</v>
      </c>
      <c r="D4" s="37">
        <v>0.03</v>
      </c>
      <c r="G4" s="16" t="s">
        <v>22</v>
      </c>
      <c r="H4" s="33">
        <f>'Players Bet'!J6</f>
        <v>650000</v>
      </c>
    </row>
    <row r="5" spans="3:9" ht="15.75" thickBot="1" x14ac:dyDescent="0.3">
      <c r="C5" s="29" t="s">
        <v>27</v>
      </c>
      <c r="D5" s="38">
        <v>0.1</v>
      </c>
    </row>
    <row r="6" spans="3:9" ht="15.75" thickBot="1" x14ac:dyDescent="0.3"/>
    <row r="7" spans="3:9" ht="15.75" thickBot="1" x14ac:dyDescent="0.3">
      <c r="C7" t="s">
        <v>30</v>
      </c>
      <c r="G7" s="42" t="s">
        <v>8</v>
      </c>
      <c r="H7" s="10" t="s">
        <v>9</v>
      </c>
      <c r="I7" s="43" t="s">
        <v>16</v>
      </c>
    </row>
    <row r="8" spans="3:9" x14ac:dyDescent="0.25">
      <c r="C8" t="s">
        <v>38</v>
      </c>
      <c r="G8" s="14" t="s">
        <v>41</v>
      </c>
      <c r="H8" s="32">
        <f>E13</f>
        <v>19500</v>
      </c>
      <c r="I8" s="32">
        <f>E14</f>
        <v>480</v>
      </c>
    </row>
    <row r="9" spans="3:9" ht="15.75" thickBot="1" x14ac:dyDescent="0.3">
      <c r="C9" t="s">
        <v>39</v>
      </c>
      <c r="G9" s="16" t="s">
        <v>42</v>
      </c>
      <c r="H9" s="33">
        <f>F13</f>
        <v>65000</v>
      </c>
      <c r="I9" s="33">
        <f>F14</f>
        <v>1600</v>
      </c>
    </row>
    <row r="10" spans="3:9" ht="15.75" thickBot="1" x14ac:dyDescent="0.3">
      <c r="G10" s="39" t="s">
        <v>40</v>
      </c>
      <c r="H10" s="31">
        <f>SUM(H8:H9)</f>
        <v>84500</v>
      </c>
      <c r="I10" s="31">
        <f>SUM(I8:I9)</f>
        <v>2080</v>
      </c>
    </row>
    <row r="11" spans="3:9" ht="15.75" thickBot="1" x14ac:dyDescent="0.3"/>
    <row r="12" spans="3:9" ht="15.75" thickBot="1" x14ac:dyDescent="0.3">
      <c r="C12" s="40" t="s">
        <v>31</v>
      </c>
      <c r="D12" s="40" t="s">
        <v>32</v>
      </c>
      <c r="E12" s="41" t="s">
        <v>33</v>
      </c>
      <c r="F12" s="41" t="s">
        <v>34</v>
      </c>
      <c r="G12" s="41" t="s">
        <v>54</v>
      </c>
    </row>
    <row r="13" spans="3:9" x14ac:dyDescent="0.25">
      <c r="C13" s="14" t="s">
        <v>35</v>
      </c>
      <c r="D13" s="11">
        <v>650000</v>
      </c>
      <c r="E13" s="6">
        <f>D13*3%</f>
        <v>19500</v>
      </c>
      <c r="F13" s="11">
        <f>D13*10%</f>
        <v>65000</v>
      </c>
      <c r="G13" s="11">
        <f>D13-E13-F13</f>
        <v>565500</v>
      </c>
    </row>
    <row r="14" spans="3:9" ht="15.75" thickBot="1" x14ac:dyDescent="0.3">
      <c r="C14" s="16" t="s">
        <v>36</v>
      </c>
      <c r="D14" s="13">
        <v>16000</v>
      </c>
      <c r="E14" s="6">
        <f>D14*3%</f>
        <v>480</v>
      </c>
      <c r="F14" s="13">
        <f>D14*10%</f>
        <v>1600</v>
      </c>
      <c r="G14" s="13">
        <f>D14-E14-F14</f>
        <v>13920</v>
      </c>
    </row>
    <row r="15" spans="3:9" ht="15.75" thickBot="1" x14ac:dyDescent="0.3">
      <c r="D15" s="9">
        <f>SUM(D13:D14)</f>
        <v>666000</v>
      </c>
      <c r="E15" s="9">
        <f>SUM(E13:E14)</f>
        <v>19980</v>
      </c>
      <c r="F15" s="9">
        <f>SUM(F13:F14)</f>
        <v>66600</v>
      </c>
      <c r="G15" s="9">
        <f>SUM(G13:G14)</f>
        <v>579420</v>
      </c>
    </row>
    <row r="16" spans="3:9" x14ac:dyDescent="0.25">
      <c r="F16" s="27"/>
    </row>
    <row r="18" spans="3:3" x14ac:dyDescent="0.25">
      <c r="C18" t="s">
        <v>29</v>
      </c>
    </row>
    <row r="19" spans="3:3" x14ac:dyDescent="0.25">
      <c r="C19" t="s">
        <v>43</v>
      </c>
    </row>
    <row r="20" spans="3:3" x14ac:dyDescent="0.25">
      <c r="C20" t="s">
        <v>44</v>
      </c>
    </row>
    <row r="21" spans="3:3" x14ac:dyDescent="0.25">
      <c r="C21" t="s">
        <v>50</v>
      </c>
    </row>
  </sheetData>
  <mergeCells count="1">
    <mergeCell ref="C3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D0D0D-19FC-4225-904C-935C6D98F4FB}">
  <dimension ref="B3:J20"/>
  <sheetViews>
    <sheetView topLeftCell="A3" workbookViewId="0">
      <selection activeCell="C23" sqref="C23"/>
    </sheetView>
  </sheetViews>
  <sheetFormatPr defaultRowHeight="15" x14ac:dyDescent="0.25"/>
  <cols>
    <col min="3" max="3" width="10" customWidth="1"/>
    <col min="4" max="4" width="11.5703125" bestFit="1" customWidth="1"/>
    <col min="5" max="5" width="10.5703125" bestFit="1" customWidth="1"/>
    <col min="6" max="6" width="12.42578125" bestFit="1" customWidth="1"/>
    <col min="7" max="7" width="21.140625" bestFit="1" customWidth="1"/>
    <col min="8" max="8" width="13.140625" bestFit="1" customWidth="1"/>
    <col min="9" max="9" width="20" bestFit="1" customWidth="1"/>
    <col min="10" max="10" width="17" style="59" bestFit="1" customWidth="1"/>
  </cols>
  <sheetData>
    <row r="3" spans="2:10" ht="15.75" thickBot="1" x14ac:dyDescent="0.3"/>
    <row r="4" spans="2:10" ht="15.75" thickBot="1" x14ac:dyDescent="0.3">
      <c r="C4" s="10" t="s">
        <v>45</v>
      </c>
      <c r="D4" s="10" t="s">
        <v>46</v>
      </c>
      <c r="E4" s="44" t="s">
        <v>47</v>
      </c>
      <c r="F4" s="45" t="s">
        <v>48</v>
      </c>
      <c r="G4" s="44" t="s">
        <v>54</v>
      </c>
      <c r="H4" s="42" t="s">
        <v>37</v>
      </c>
      <c r="I4" s="10" t="s">
        <v>55</v>
      </c>
      <c r="J4" s="60" t="s">
        <v>49</v>
      </c>
    </row>
    <row r="5" spans="2:10" x14ac:dyDescent="0.25">
      <c r="B5" s="46" t="s">
        <v>9</v>
      </c>
      <c r="C5" s="14" t="s">
        <v>10</v>
      </c>
      <c r="D5" s="7">
        <v>1000</v>
      </c>
      <c r="E5" s="52">
        <f>D8</f>
        <v>16000</v>
      </c>
      <c r="F5" s="49">
        <f>(D5/E5)</f>
        <v>6.25E-2</v>
      </c>
      <c r="G5" s="52">
        <f>'Fee structure'!G13</f>
        <v>565500</v>
      </c>
      <c r="H5" s="52">
        <f>F5*G5</f>
        <v>35343.75</v>
      </c>
      <c r="I5" s="52">
        <f>D5+H5</f>
        <v>36343.75</v>
      </c>
      <c r="J5" s="61">
        <f>'Players Bet'!F5</f>
        <v>1500</v>
      </c>
    </row>
    <row r="6" spans="2:10" x14ac:dyDescent="0.25">
      <c r="B6" s="47"/>
      <c r="C6" s="15" t="s">
        <v>11</v>
      </c>
      <c r="D6" s="7">
        <v>5000</v>
      </c>
      <c r="E6" s="53">
        <f>D8</f>
        <v>16000</v>
      </c>
      <c r="F6" s="50">
        <f>D6/E6</f>
        <v>0.3125</v>
      </c>
      <c r="G6" s="53">
        <f>G5</f>
        <v>565500</v>
      </c>
      <c r="H6" s="53">
        <f>F6*G6</f>
        <v>176718.75</v>
      </c>
      <c r="I6" s="53">
        <f>D6+H6</f>
        <v>181718.75</v>
      </c>
      <c r="J6" s="62">
        <f>'Players Bet'!F6</f>
        <v>7500</v>
      </c>
    </row>
    <row r="7" spans="2:10" ht="15.75" thickBot="1" x14ac:dyDescent="0.3">
      <c r="B7" s="48"/>
      <c r="C7" s="16" t="s">
        <v>12</v>
      </c>
      <c r="D7" s="7">
        <v>10000</v>
      </c>
      <c r="E7" s="54">
        <f>D8</f>
        <v>16000</v>
      </c>
      <c r="F7" s="51">
        <f>D7/E7</f>
        <v>0.625</v>
      </c>
      <c r="G7" s="54">
        <f>G6</f>
        <v>565500</v>
      </c>
      <c r="H7" s="54">
        <f>G7*F7</f>
        <v>353437.5</v>
      </c>
      <c r="I7" s="54">
        <f>D7+H7</f>
        <v>363437.5</v>
      </c>
      <c r="J7" s="63">
        <f>'Players Bet'!F7</f>
        <v>15000</v>
      </c>
    </row>
    <row r="8" spans="2:10" ht="15.75" thickBot="1" x14ac:dyDescent="0.3">
      <c r="D8" s="40">
        <f>SUM(D5:D7)</f>
        <v>16000</v>
      </c>
      <c r="E8" s="7"/>
      <c r="F8" s="55">
        <f>SUM(F5:F7)</f>
        <v>1</v>
      </c>
      <c r="G8" s="7"/>
      <c r="H8" s="40">
        <f>SUM(H5:H7)</f>
        <v>565500</v>
      </c>
      <c r="I8" s="40">
        <f>SUM(I5:I7)</f>
        <v>581500</v>
      </c>
      <c r="J8" s="64"/>
    </row>
    <row r="10" spans="2:10" ht="15.75" thickBot="1" x14ac:dyDescent="0.3"/>
    <row r="11" spans="2:10" ht="15.75" thickBot="1" x14ac:dyDescent="0.3">
      <c r="C11" s="10" t="s">
        <v>45</v>
      </c>
      <c r="D11" s="10" t="s">
        <v>46</v>
      </c>
      <c r="E11" s="44" t="s">
        <v>51</v>
      </c>
      <c r="F11" s="45" t="s">
        <v>48</v>
      </c>
      <c r="G11" s="44" t="s">
        <v>54</v>
      </c>
      <c r="H11" s="42" t="s">
        <v>37</v>
      </c>
      <c r="I11" s="10" t="s">
        <v>55</v>
      </c>
      <c r="J11" s="60" t="s">
        <v>49</v>
      </c>
    </row>
    <row r="12" spans="2:10" x14ac:dyDescent="0.25">
      <c r="B12" s="46" t="s">
        <v>16</v>
      </c>
      <c r="C12" s="14" t="s">
        <v>17</v>
      </c>
      <c r="D12" s="52">
        <v>100000</v>
      </c>
      <c r="E12" s="52">
        <v>650000</v>
      </c>
      <c r="F12" s="49">
        <f>D12/E12</f>
        <v>0.15384615384615385</v>
      </c>
      <c r="G12" s="52">
        <f>'Fee structure'!G14</f>
        <v>13920</v>
      </c>
      <c r="H12" s="56">
        <f>G12*F12</f>
        <v>2141.5384615384614</v>
      </c>
      <c r="I12" s="52">
        <f>H12+D12</f>
        <v>102141.53846153847</v>
      </c>
      <c r="J12" s="61">
        <f>'Players Bet'!F14</f>
        <v>150000</v>
      </c>
    </row>
    <row r="13" spans="2:10" x14ac:dyDescent="0.25">
      <c r="B13" s="47"/>
      <c r="C13" s="15" t="s">
        <v>18</v>
      </c>
      <c r="D13" s="53">
        <v>250000</v>
      </c>
      <c r="E13" s="53">
        <v>650000</v>
      </c>
      <c r="F13" s="50">
        <f>D13/E13</f>
        <v>0.38461538461538464</v>
      </c>
      <c r="G13" s="53">
        <f>G12</f>
        <v>13920</v>
      </c>
      <c r="H13" s="57">
        <f>G13*F13</f>
        <v>5353.8461538461543</v>
      </c>
      <c r="I13" s="53">
        <f>H13+D13</f>
        <v>255353.84615384616</v>
      </c>
      <c r="J13" s="62">
        <f>'Players Bet'!F15</f>
        <v>375000</v>
      </c>
    </row>
    <row r="14" spans="2:10" ht="15.75" thickBot="1" x14ac:dyDescent="0.3">
      <c r="B14" s="48"/>
      <c r="C14" s="16" t="s">
        <v>19</v>
      </c>
      <c r="D14" s="54">
        <v>300000</v>
      </c>
      <c r="E14" s="54">
        <v>650000</v>
      </c>
      <c r="F14" s="51">
        <f>D14/E14</f>
        <v>0.46153846153846156</v>
      </c>
      <c r="G14" s="54">
        <f>G13</f>
        <v>13920</v>
      </c>
      <c r="H14" s="58">
        <f>G14*F14</f>
        <v>6424.6153846153848</v>
      </c>
      <c r="I14" s="54">
        <f>H14+D14</f>
        <v>306424.61538461538</v>
      </c>
      <c r="J14" s="63">
        <f>'Players Bet'!F16</f>
        <v>450000</v>
      </c>
    </row>
    <row r="15" spans="2:10" ht="15.75" thickBot="1" x14ac:dyDescent="0.3">
      <c r="D15" s="40">
        <f>SUM(D12:D14)</f>
        <v>650000</v>
      </c>
      <c r="E15" s="7"/>
      <c r="F15" s="55">
        <f>SUM(F12:F14)</f>
        <v>1</v>
      </c>
      <c r="G15" s="7"/>
      <c r="H15" s="40">
        <f>SUM(H12:H14)</f>
        <v>13920</v>
      </c>
      <c r="I15" s="40">
        <f>SUM(I12:I14)</f>
        <v>663920</v>
      </c>
      <c r="J15" s="64"/>
    </row>
    <row r="18" spans="3:5" x14ac:dyDescent="0.25">
      <c r="C18" t="s">
        <v>52</v>
      </c>
    </row>
    <row r="19" spans="3:5" x14ac:dyDescent="0.25">
      <c r="C19" s="20" t="s">
        <v>53</v>
      </c>
      <c r="D19" s="20"/>
      <c r="E19" s="20"/>
    </row>
    <row r="20" spans="3:5" x14ac:dyDescent="0.25">
      <c r="C20" s="20"/>
      <c r="D20" s="20"/>
      <c r="E20" s="20"/>
    </row>
  </sheetData>
  <mergeCells count="4">
    <mergeCell ref="B5:B7"/>
    <mergeCell ref="B12:B14"/>
    <mergeCell ref="C19:E19"/>
    <mergeCell ref="C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</vt:lpstr>
      <vt:lpstr>Players Bet</vt:lpstr>
      <vt:lpstr>Fee structure</vt:lpstr>
      <vt:lpstr>Payout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2026-07-20T14:37:41Z</dcterms:created>
  <dcterms:modified xsi:type="dcterms:W3CDTF">2026-07-20T15:19:10Z</dcterms:modified>
</cp:coreProperties>
</file>